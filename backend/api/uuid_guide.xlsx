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UID Versions" sheetId="1" state="visible" r:id="rId3"/>
    <sheet name="Storage Size" sheetId="2" state="visible" r:id="rId4"/>
    <sheet name="v4 vs v7" sheetId="3" state="visible" r:id="rId5"/>
    <sheet name="Model 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<sst xmlns="http://schemas.openxmlformats.org/spreadsheetml/2006/main" count="124" uniqueCount="114">
  <si>
    <t xml:space="preserve">UUID versions: how they work and when to use them</t>
  </si>
  <si>
    <t xml:space="preserve">Version</t>
  </si>
  <si>
    <t xml:space="preserve">How it's generated</t>
  </si>
  <si>
    <t xml:space="preserve">Sortable?</t>
  </si>
  <si>
    <t xml:space="preserve">Use it for</t>
  </si>
  <si>
    <t xml:space="preserve">v1</t>
  </si>
  <si>
    <t xml:space="preserve">Timestamp + MAC address</t>
  </si>
  <si>
    <t xml:space="preserve">Not directly</t>
  </si>
  <si>
    <t xml:space="preserve">Avoid: leaks MAC address and creation time</t>
  </si>
  <si>
    <t xml:space="preserve">v2</t>
  </si>
  <si>
    <t xml:space="preserve">DCE security variant</t>
  </si>
  <si>
    <t xml:space="preserve">n/a</t>
  </si>
  <si>
    <t xml:space="preserve">Essentially unused</t>
  </si>
  <si>
    <t xml:space="preserve">v3</t>
  </si>
  <si>
    <t xml:space="preserve">MD5 hash of namespace + name</t>
  </si>
  <si>
    <t xml:space="preserve">No</t>
  </si>
  <si>
    <t xml:space="preserve">Deterministic IDs (same input gives same UUID); legacy</t>
  </si>
  <si>
    <t xml:space="preserve">v4</t>
  </si>
  <si>
    <t xml:space="preserve">122 random bits</t>
  </si>
  <si>
    <t xml:space="preserve">Unguessable tokens, general-purpose IDs</t>
  </si>
  <si>
    <t xml:space="preserve">v5</t>
  </si>
  <si>
    <t xml:space="preserve">SHA-1 hash of namespace + name</t>
  </si>
  <si>
    <t xml:space="preserve">Deterministic IDs; preferred over v3</t>
  </si>
  <si>
    <t xml:space="preserve">v6</t>
  </si>
  <si>
    <t xml:space="preserve">v1 with reordered timestamp</t>
  </si>
  <si>
    <t xml:space="preserve">Yes</t>
  </si>
  <si>
    <t xml:space="preserve">Only if migrating from v1</t>
  </si>
  <si>
    <t xml:space="preserve">v7</t>
  </si>
  <si>
    <t xml:space="preserve">48-bit Unix ms timestamp + random</t>
  </si>
  <si>
    <t xml:space="preserve">Default choice for DB primary keys</t>
  </si>
  <si>
    <t xml:space="preserve">v8</t>
  </si>
  <si>
    <t xml:space="preserve">Custom / vendor-defined</t>
  </si>
  <si>
    <t xml:space="preserve">Depends</t>
  </si>
  <si>
    <t xml:space="preserve">Special cases</t>
  </si>
  <si>
    <t xml:space="preserve">Storage size: UUID version does not change size</t>
  </si>
  <si>
    <t xml:space="preserve">Every UUID is 128 bits (16 bytes) regardless of version. Blue cells are inputs you can change.</t>
  </si>
  <si>
    <t xml:space="preserve">Key type</t>
  </si>
  <si>
    <t xml:space="preserve">Bytes per key</t>
  </si>
  <si>
    <t xml:space="preserve">Notes</t>
  </si>
  <si>
    <t xml:space="preserve">UUID (PostgreSQL native uuid)</t>
  </si>
  <si>
    <t xml:space="preserve">Django on PostgreSQL stores native uuid</t>
  </si>
  <si>
    <t xml:space="preserve">UUID (MySQL/SQLite char(32))</t>
  </si>
  <si>
    <t xml:space="preserve">Django stores as 32-char hex string</t>
  </si>
  <si>
    <t xml:space="preserve">BigAutoField (bigint)</t>
  </si>
  <si>
    <t xml:space="preserve">Sequential, internal-only tables</t>
  </si>
  <si>
    <t xml:space="preserve">AutoField (int)</t>
  </si>
  <si>
    <t xml:space="preserve">Sequential, max ~2.1 billion rows</t>
  </si>
  <si>
    <t xml:space="preserve">Index size estimator (key only, excludes row data and index overhead)</t>
  </si>
  <si>
    <t xml:space="preserve">Rows in table</t>
  </si>
  <si>
    <t xml:space="preserve">FK columns referencing this table</t>
  </si>
  <si>
    <t xml:space="preserve">PK column (MB)</t>
  </si>
  <si>
    <t xml:space="preserve">FK columns total (MB)</t>
  </si>
  <si>
    <t xml:space="preserve">Total (MB)</t>
  </si>
  <si>
    <t xml:space="preserve">vs bigint</t>
  </si>
  <si>
    <t xml:space="preserve">Assumption: FK count and row count are illustrative inputs; assumes one FK value per referencing row.</t>
  </si>
  <si>
    <t xml:space="preserve">Write behavior: random vs time-ordered UUIDs</t>
  </si>
  <si>
    <t xml:space="preserve">Aspect</t>
  </si>
  <si>
    <t xml:space="preserve">UUID v4 (random)</t>
  </si>
  <si>
    <t xml:space="preserve">UUID v7 (time-ordered)</t>
  </si>
  <si>
    <t xml:space="preserve">Insert position in B-tree</t>
  </si>
  <si>
    <t xml:space="preserve">Random spot</t>
  </si>
  <si>
    <t xml:space="preserve">Near the end, like auto-increment</t>
  </si>
  <si>
    <t xml:space="preserve">Page splits</t>
  </si>
  <si>
    <t xml:space="preserve">Frequent</t>
  </si>
  <si>
    <t xml:space="preserve">Rare</t>
  </si>
  <si>
    <t xml:space="preserve">Cache locality</t>
  </si>
  <si>
    <t xml:space="preserve">Poor (cache misses)</t>
  </si>
  <si>
    <t xml:space="preserve">Good</t>
  </si>
  <si>
    <t xml:space="preserve">Index bloat</t>
  </si>
  <si>
    <t xml:space="preserve">Higher on large tables</t>
  </si>
  <si>
    <t xml:space="preserve">Lower</t>
  </si>
  <si>
    <t xml:space="preserve">WAL writes</t>
  </si>
  <si>
    <t xml:space="preserve">More</t>
  </si>
  <si>
    <t xml:space="preserve">Fewer</t>
  </si>
  <si>
    <t xml:space="preserve">Globally unique</t>
  </si>
  <si>
    <t xml:space="preserve">Non-guessable</t>
  </si>
  <si>
    <t xml:space="preserve">Mostly (timestamp prefix is visible)</t>
  </si>
  <si>
    <t xml:space="preserve">Joins</t>
  </si>
  <si>
    <t xml:space="preserve">Slightly slower and bigger than bigint (16 vs 8 bytes per FK)</t>
  </si>
  <si>
    <t xml:space="preserve">Same size; better insert locality</t>
  </si>
  <si>
    <t xml:space="preserve">Recommendations for your Django models</t>
  </si>
  <si>
    <t xml:space="preserve">Model</t>
  </si>
  <si>
    <t xml:space="preserve">What it is</t>
  </si>
  <si>
    <t xml:space="preserve">Exposed publicly?</t>
  </si>
  <si>
    <t xml:space="preserve">Suggested PK</t>
  </si>
  <si>
    <t xml:space="preserve">Reason</t>
  </si>
  <si>
    <t xml:space="preserve">Club</t>
  </si>
  <si>
    <t xml:space="preserve">Public-facing entity</t>
  </si>
  <si>
    <t xml:space="preserve">UUID v7</t>
  </si>
  <si>
    <t xml:space="preserve">Public IDs should not be enumerable; v7 keeps inserts fast</t>
  </si>
  <si>
    <t xml:space="preserve">DepartmentTemplate</t>
  </si>
  <si>
    <t xml:space="preserve">The actual template</t>
  </si>
  <si>
    <t xml:space="preserve">Depends (confirm)</t>
  </si>
  <si>
    <t xml:space="preserve">UUID v7 or BigAutoField</t>
  </si>
  <si>
    <t xml:space="preserve">Use UUID only if its ID appears in API URLs</t>
  </si>
  <si>
    <t xml:space="preserve">ClubDepartment</t>
  </si>
  <si>
    <t xml:space="preserve">Per-club instance of a department (not a template)</t>
  </si>
  <si>
    <t xml:space="preserve">BigAutoField if internal</t>
  </si>
  <si>
    <t xml:space="preserve">Drop UUID if never in URLs or OpenAPI schema</t>
  </si>
  <si>
    <t xml:space="preserve">MembershipDepartment</t>
  </si>
  <si>
    <t xml:space="preserve">Join between a membership and a department (not a template)</t>
  </si>
  <si>
    <t xml:space="preserve">Rarely</t>
  </si>
  <si>
    <t xml:space="preserve">BigAutoField</t>
  </si>
  <si>
    <t xml:space="preserve">Internal join tables rarely need unguessable IDs</t>
  </si>
  <si>
    <t xml:space="preserve">Slug-derived lookups</t>
  </si>
  <si>
    <t xml:space="preserve">Stable ID derived from a slug</t>
  </si>
  <si>
    <t xml:space="preserve">UUID v5</t>
  </si>
  <si>
    <t xml:space="preserve">Deterministic: same input gives same UUID</t>
  </si>
  <si>
    <t xml:space="preserve">Rule of thumb</t>
  </si>
  <si>
    <t xml:space="preserve">Public-facing entities: UUID v7</t>
  </si>
  <si>
    <t xml:space="preserve">Internal / join tables never referenced from outside: BigAutoField</t>
  </si>
  <si>
    <t xml:space="preserve">Deterministic lookups: UUID v5</t>
  </si>
  <si>
    <t xml:space="preserve">Python 3.14 has uuid.uuid7() built in; on older versions use the uuid-utils package and wrap with uuid.UUID(...)</t>
  </si>
  <si>
    <t xml:space="preserve">Open question: which database are you on, and do ClubDepartment / MembershipDepartment IDs appear in API URLs or the OpenAPI schema?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</si>
</sst>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11</v>
      </c>
      <c r="D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15</v>
      </c>
      <c r="D6" s="3" t="s">
        <v>16</v>
      </c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15</v>
      </c>
      <c r="D7" s="3" t="s">
        <v>19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15</v>
      </c>
      <c r="D8" s="3" t="s">
        <v>22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 t="s">
        <v>26</v>
      </c>
    </row>
    <row r="10" customFormat="false" ht="15" hidden="false" customHeight="false" outlineLevel="0" collapsed="false">
      <c r="A10" s="3" t="s">
        <v>27</v>
      </c>
      <c r="B10" s="3" t="s">
        <v>28</v>
      </c>
      <c r="C10" s="3" t="s">
        <v>25</v>
      </c>
      <c r="D10" s="3" t="s">
        <v>29</v>
      </c>
    </row>
    <row r="11" customFormat="false" ht="15" hidden="false" customHeight="false" outlineLevel="0" collapsed="false">
      <c r="A11" s="3" t="s">
        <v>30</v>
      </c>
      <c r="B11" s="3" t="s">
        <v>31</v>
      </c>
      <c r="C11" s="3" t="s">
        <v>32</v>
      </c>
      <c r="D11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</row>
    <row r="5" customFormat="false" ht="28.35" hidden="false" customHeight="false" outlineLevel="0" collapsed="false">
      <c r="A5" s="3" t="s">
        <v>39</v>
      </c>
      <c r="B5" s="6" t="n">
        <v>16</v>
      </c>
      <c r="C5" s="3" t="s">
        <v>40</v>
      </c>
    </row>
    <row r="6" customFormat="false" ht="28.35" hidden="false" customHeight="false" outlineLevel="0" collapsed="false">
      <c r="A6" s="3" t="s">
        <v>41</v>
      </c>
      <c r="B6" s="6" t="n">
        <v>32</v>
      </c>
      <c r="C6" s="3" t="s">
        <v>42</v>
      </c>
    </row>
    <row r="7" customFormat="false" ht="28.35" hidden="false" customHeight="false" outlineLevel="0" collapsed="false">
      <c r="A7" s="3" t="s">
        <v>43</v>
      </c>
      <c r="B7" s="6" t="n">
        <v>8</v>
      </c>
      <c r="C7" s="3" t="s">
        <v>44</v>
      </c>
    </row>
    <row r="8" customFormat="false" ht="28.35" hidden="false" customHeight="false" outlineLevel="0" collapsed="false">
      <c r="A8" s="3" t="s">
        <v>45</v>
      </c>
      <c r="B8" s="6" t="n">
        <v>4</v>
      </c>
      <c r="C8" s="3" t="s">
        <v>46</v>
      </c>
    </row>
    <row r="11" customFormat="false" ht="15" hidden="false" customHeight="false" outlineLevel="0" collapsed="false">
      <c r="A11" s="7" t="s">
        <v>47</v>
      </c>
    </row>
    <row r="12" customFormat="false" ht="15" hidden="false" customHeight="false" outlineLevel="0" collapsed="false">
      <c r="A12" s="8" t="s">
        <v>48</v>
      </c>
      <c r="B12" s="9" t="n">
        <v>1000000</v>
      </c>
    </row>
    <row r="13" customFormat="false" ht="15" hidden="false" customHeight="false" outlineLevel="0" collapsed="false">
      <c r="A13" s="8" t="s">
        <v>49</v>
      </c>
      <c r="B13" s="9" t="n">
        <v>3</v>
      </c>
    </row>
    <row r="15" customFormat="false" ht="15" hidden="false" customHeight="false" outlineLevel="0" collapsed="false">
      <c r="A15" s="2" t="s">
        <v>36</v>
      </c>
      <c r="B15" s="2" t="s">
        <v>50</v>
      </c>
      <c r="C15" s="2" t="s">
        <v>51</v>
      </c>
      <c r="D15" s="2" t="s">
        <v>52</v>
      </c>
      <c r="E15" s="2" t="s">
        <v>53</v>
      </c>
    </row>
    <row r="16" customFormat="false" ht="15" hidden="false" customHeight="false" outlineLevel="0" collapsed="false">
      <c r="A16" s="3" t="str">
        <f aca="false">A5</f>
        <v>UUID (PostgreSQL native uuid)</v>
      </c>
      <c r="B16" s="10" t="n">
        <f aca="false">$B$12*B5/1048576</f>
        <v>15.2587890625</v>
      </c>
      <c r="C16" s="10" t="n">
        <f aca="false">$B$12*$B$13*B5/1048576</f>
        <v>45.7763671875</v>
      </c>
      <c r="D16" s="10" t="n">
        <f aca="false">B16+C16</f>
        <v>61.03515625</v>
      </c>
      <c r="E16" s="11" t="n">
        <f aca="false">D16/$D$18</f>
        <v>2</v>
      </c>
    </row>
    <row r="17" customFormat="false" ht="15" hidden="false" customHeight="false" outlineLevel="0" collapsed="false">
      <c r="A17" s="3" t="str">
        <f aca="false">A6</f>
        <v>UUID (MySQL/SQLite char(32))</v>
      </c>
      <c r="B17" s="10" t="n">
        <f aca="false">$B$12*B6/1048576</f>
        <v>30.517578125</v>
      </c>
      <c r="C17" s="10" t="n">
        <f aca="false">$B$12*$B$13*B6/1048576</f>
        <v>91.552734375</v>
      </c>
      <c r="D17" s="10" t="n">
        <f aca="false">B17+C17</f>
        <v>122.0703125</v>
      </c>
      <c r="E17" s="11" t="n">
        <f aca="false">D17/$D$18</f>
        <v>4</v>
      </c>
    </row>
    <row r="18" customFormat="false" ht="15" hidden="false" customHeight="false" outlineLevel="0" collapsed="false">
      <c r="A18" s="3" t="str">
        <f aca="false">A7</f>
        <v>BigAutoField (bigint)</v>
      </c>
      <c r="B18" s="10" t="n">
        <f aca="false">$B$12*B7/1048576</f>
        <v>7.62939453125</v>
      </c>
      <c r="C18" s="10" t="n">
        <f aca="false">$B$12*$B$13*B7/1048576</f>
        <v>22.88818359375</v>
      </c>
      <c r="D18" s="10" t="n">
        <f aca="false">B18+C18</f>
        <v>30.517578125</v>
      </c>
      <c r="E18" s="11" t="n">
        <f aca="false">D18/$D$18</f>
        <v>1</v>
      </c>
    </row>
    <row r="19" customFormat="false" ht="15" hidden="false" customHeight="false" outlineLevel="0" collapsed="false">
      <c r="A19" s="3" t="str">
        <f aca="false">A8</f>
        <v>AutoField (int)</v>
      </c>
      <c r="B19" s="10" t="n">
        <f aca="false">$B$12*B8/1048576</f>
        <v>3.814697265625</v>
      </c>
      <c r="C19" s="10" t="n">
        <f aca="false">$B$12*$B$13*B8/1048576</f>
        <v>11.444091796875</v>
      </c>
      <c r="D19" s="10" t="n">
        <f aca="false">B19+C19</f>
        <v>15.2587890625</v>
      </c>
      <c r="E19" s="11" t="n">
        <f aca="false">D19/$D$18</f>
        <v>0.5</v>
      </c>
    </row>
    <row r="20" customFormat="false" ht="15" hidden="false" customHeight="false" outlineLevel="0" collapsed="false">
      <c r="A20" s="1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2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2" t="s">
        <v>56</v>
      </c>
      <c r="B3" s="2" t="s">
        <v>57</v>
      </c>
      <c r="C3" s="2" t="s">
        <v>58</v>
      </c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</row>
    <row r="5" customFormat="false" ht="15" hidden="false" customHeight="false" outlineLevel="0" collapsed="false">
      <c r="A5" s="3" t="s">
        <v>62</v>
      </c>
      <c r="B5" s="3" t="s">
        <v>63</v>
      </c>
      <c r="C5" s="3" t="s">
        <v>64</v>
      </c>
    </row>
    <row r="6" customFormat="false" ht="15" hidden="false" customHeight="false" outlineLevel="0" collapsed="false">
      <c r="A6" s="3" t="s">
        <v>65</v>
      </c>
      <c r="B6" s="3" t="s">
        <v>66</v>
      </c>
      <c r="C6" s="3" t="s">
        <v>67</v>
      </c>
    </row>
    <row r="7" customFormat="false" ht="15" hidden="false" customHeight="false" outlineLevel="0" collapsed="false">
      <c r="A7" s="3" t="s">
        <v>68</v>
      </c>
      <c r="B7" s="3" t="s">
        <v>69</v>
      </c>
      <c r="C7" s="3" t="s">
        <v>70</v>
      </c>
    </row>
    <row r="8" customFormat="false" ht="15" hidden="false" customHeight="false" outlineLevel="0" collapsed="false">
      <c r="A8" s="3" t="s">
        <v>71</v>
      </c>
      <c r="B8" s="3" t="s">
        <v>72</v>
      </c>
      <c r="C8" s="3" t="s">
        <v>73</v>
      </c>
    </row>
    <row r="9" customFormat="false" ht="15" hidden="false" customHeight="false" outlineLevel="0" collapsed="false">
      <c r="A9" s="3" t="s">
        <v>74</v>
      </c>
      <c r="B9" s="3" t="s">
        <v>25</v>
      </c>
      <c r="C9" s="3" t="s">
        <v>25</v>
      </c>
    </row>
    <row r="10" customFormat="false" ht="15" hidden="false" customHeight="false" outlineLevel="0" collapsed="false">
      <c r="A10" s="3" t="s">
        <v>75</v>
      </c>
      <c r="B10" s="3" t="s">
        <v>25</v>
      </c>
      <c r="C10" s="3" t="s">
        <v>76</v>
      </c>
    </row>
    <row r="11" customFormat="false" ht="28.35" hidden="false" customHeight="false" outlineLevel="0" collapsed="false">
      <c r="A11" s="3" t="s">
        <v>77</v>
      </c>
      <c r="B11" s="3" t="s">
        <v>78</v>
      </c>
      <c r="C11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</row>
    <row r="4" customFormat="false" ht="15" hidden="false" customHeight="false" outlineLevel="0" collapsed="false">
      <c r="A4" s="3" t="s">
        <v>86</v>
      </c>
      <c r="B4" s="3" t="s">
        <v>87</v>
      </c>
      <c r="C4" s="3" t="s">
        <v>25</v>
      </c>
      <c r="D4" s="3" t="s">
        <v>88</v>
      </c>
      <c r="E4" s="3" t="s">
        <v>89</v>
      </c>
    </row>
    <row r="5" customFormat="false" ht="15" hidden="false" customHeight="false" outlineLevel="0" collapsed="false">
      <c r="A5" s="3" t="s">
        <v>90</v>
      </c>
      <c r="B5" s="3" t="s">
        <v>91</v>
      </c>
      <c r="C5" s="3" t="s">
        <v>92</v>
      </c>
      <c r="D5" s="3" t="s">
        <v>93</v>
      </c>
      <c r="E5" s="3" t="s">
        <v>94</v>
      </c>
    </row>
    <row r="6" customFormat="false" ht="28.35" hidden="false" customHeight="false" outlineLevel="0" collapsed="false">
      <c r="A6" s="3" t="s">
        <v>95</v>
      </c>
      <c r="B6" s="3" t="s">
        <v>96</v>
      </c>
      <c r="C6" s="3" t="s">
        <v>92</v>
      </c>
      <c r="D6" s="3" t="s">
        <v>97</v>
      </c>
      <c r="E6" s="3" t="s">
        <v>98</v>
      </c>
    </row>
    <row r="7" customFormat="false" ht="28.35" hidden="false" customHeight="false" outlineLevel="0" collapsed="false">
      <c r="A7" s="3" t="s">
        <v>99</v>
      </c>
      <c r="B7" s="3" t="s">
        <v>100</v>
      </c>
      <c r="C7" s="3" t="s">
        <v>101</v>
      </c>
      <c r="D7" s="3" t="s">
        <v>102</v>
      </c>
      <c r="E7" s="3" t="s">
        <v>103</v>
      </c>
    </row>
    <row r="8" customFormat="false" ht="15" hidden="false" customHeight="false" outlineLevel="0" collapsed="false">
      <c r="A8" s="3" t="s">
        <v>104</v>
      </c>
      <c r="B8" s="3" t="s">
        <v>105</v>
      </c>
      <c r="C8" s="3" t="s">
        <v>11</v>
      </c>
      <c r="D8" s="3" t="s">
        <v>106</v>
      </c>
      <c r="E8" s="3" t="s">
        <v>107</v>
      </c>
    </row>
    <row r="11" customFormat="false" ht="15" hidden="false" customHeight="false" outlineLevel="0" collapsed="false">
      <c r="A11" s="7" t="s">
        <v>108</v>
      </c>
    </row>
    <row r="12" customFormat="false" ht="15" hidden="false" customHeight="false" outlineLevel="0" collapsed="false">
      <c r="A12" s="8" t="s">
        <v>109</v>
      </c>
    </row>
    <row r="13" customFormat="false" ht="15" hidden="false" customHeight="false" outlineLevel="0" collapsed="false">
      <c r="A13" s="8" t="s">
        <v>110</v>
      </c>
    </row>
    <row r="14" customFormat="false" ht="15" hidden="false" customHeight="false" outlineLevel="0" collapsed="false">
      <c r="A14" s="8" t="s">
        <v>111</v>
      </c>
    </row>
    <row r="15" customFormat="false" ht="15" hidden="false" customHeight="false" outlineLevel="0" collapsed="false">
      <c r="A15" s="8" t="s">
        <v>112</v>
      </c>
    </row>
    <row r="16" customFormat="false" ht="15" hidden="false" customHeight="false" outlineLevel="0" collapsed="false">
      <c r="A16" s="8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2026-10-16T03:49:55Z</dcterms:created>
  <dc:creator>openpyxl</dc:creator>
  <dc:description/>
  <dc:language>en-US</dc:language>
  <cp:lastModifiedBy/>
  <dcterms:modified xsi:type="dcterms:W3CDTF">2026-10-16T03:49:55Z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